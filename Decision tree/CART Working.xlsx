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INSAID\Track 5\01 Module 1_ Decision Trees\"/>
    </mc:Choice>
  </mc:AlternateContent>
  <bookViews>
    <workbookView xWindow="0" yWindow="0" windowWidth="20490" windowHeight="775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" i="2" l="1"/>
  <c r="J21" i="2"/>
  <c r="J16" i="2"/>
  <c r="G12" i="2"/>
  <c r="G11" i="2"/>
  <c r="K19" i="1" l="1"/>
  <c r="H20" i="1"/>
  <c r="H23" i="1"/>
  <c r="H22" i="1"/>
  <c r="H15" i="1"/>
  <c r="H17" i="1"/>
  <c r="H12" i="1"/>
  <c r="H11" i="1"/>
  <c r="D10" i="1"/>
  <c r="D2" i="1"/>
  <c r="G7" i="1"/>
  <c r="C13" i="1"/>
  <c r="C14" i="1" s="1"/>
  <c r="C15" i="1" s="1"/>
  <c r="C16" i="1" s="1"/>
  <c r="C17" i="1" s="1"/>
  <c r="C4" i="1"/>
  <c r="C5" i="1" s="1"/>
  <c r="C6" i="1" s="1"/>
  <c r="C7" i="1" s="1"/>
  <c r="C8" i="1" s="1"/>
  <c r="C9" i="1" s="1"/>
  <c r="C10" i="1" s="1"/>
  <c r="B11" i="1"/>
  <c r="B12" i="1" s="1"/>
  <c r="B13" i="1" s="1"/>
  <c r="B14" i="1" s="1"/>
  <c r="B15" i="1" s="1"/>
  <c r="B16" i="1" s="1"/>
  <c r="B17" i="1" s="1"/>
  <c r="D17" i="1" s="1"/>
  <c r="B3" i="1"/>
  <c r="B4" i="1" s="1"/>
  <c r="B5" i="1" l="1"/>
  <c r="D4" i="1"/>
  <c r="D16" i="1"/>
  <c r="D12" i="1"/>
  <c r="D15" i="1"/>
  <c r="D11" i="1"/>
  <c r="D3" i="1"/>
  <c r="D14" i="1"/>
  <c r="D13" i="1"/>
  <c r="D5" i="1" l="1"/>
  <c r="B6" i="1"/>
  <c r="B7" i="1" l="1"/>
  <c r="D6" i="1"/>
  <c r="B8" i="1" l="1"/>
  <c r="D7" i="1"/>
  <c r="B9" i="1" l="1"/>
  <c r="D9" i="1" s="1"/>
  <c r="D8" i="1"/>
</calcChain>
</file>

<file path=xl/sharedStrings.xml><?xml version="1.0" encoding="utf-8"?>
<sst xmlns="http://schemas.openxmlformats.org/spreadsheetml/2006/main" count="113" uniqueCount="45">
  <si>
    <t>Enroll</t>
  </si>
  <si>
    <t>Y</t>
  </si>
  <si>
    <t>N</t>
  </si>
  <si>
    <t>Age</t>
  </si>
  <si>
    <t>Income</t>
  </si>
  <si>
    <t>Gini(D)</t>
  </si>
  <si>
    <t>P(Yes)</t>
  </si>
  <si>
    <t>P(No)</t>
  </si>
  <si>
    <t>1-(Pyes)^2-(Pno)^2</t>
  </si>
  <si>
    <t>Gini(Age)</t>
  </si>
  <si>
    <t>&lt;30 and &gt; 30</t>
  </si>
  <si>
    <t>Age_derived</t>
  </si>
  <si>
    <t>&lt;30 (D1)</t>
  </si>
  <si>
    <t>&gt; 30 (D2)</t>
  </si>
  <si>
    <t>Gini(D1)</t>
  </si>
  <si>
    <t>Total D1</t>
  </si>
  <si>
    <t>Gini(D2)</t>
  </si>
  <si>
    <t>Total D2</t>
  </si>
  <si>
    <t>Gini Age =</t>
  </si>
  <si>
    <t>0.25*0 +0.75*0.44</t>
  </si>
  <si>
    <t>Delta</t>
  </si>
  <si>
    <t>0.5-0.33</t>
  </si>
  <si>
    <t>Gini Income = 0.4</t>
  </si>
  <si>
    <t>0.5-0.4</t>
  </si>
  <si>
    <t>&lt;=30</t>
  </si>
  <si>
    <t>&gt;30</t>
  </si>
  <si>
    <t>&lt;=300</t>
  </si>
  <si>
    <t>&gt;=300</t>
  </si>
  <si>
    <t>Gini(age) = (#&lt;=30/Total) * Gini(age= &lt;=30) + (#&gt;30/Total)*Gini(age= &gt;30)</t>
  </si>
  <si>
    <t>Total=</t>
  </si>
  <si>
    <t>1- (p(Y))^2 - (p(N))^2</t>
  </si>
  <si>
    <t>Gini(age &lt;=30) = 1 - P(Y, age&lt;=30)^2 - P(N, age&lt;=30)^2</t>
  </si>
  <si>
    <t>P(Y), age&lt;=30</t>
  </si>
  <si>
    <t>4/6</t>
  </si>
  <si>
    <t>P(N), age&lt;=30</t>
  </si>
  <si>
    <t>2/6</t>
  </si>
  <si>
    <t>Gini(age &gt;30) = 1 - P(Y, age&gt;30)^2 - P(N, age&gt;30)^2</t>
  </si>
  <si>
    <t>P(Y), age&gt;30</t>
  </si>
  <si>
    <t>P(N), age&gt;30</t>
  </si>
  <si>
    <t>4/10</t>
  </si>
  <si>
    <t>6/10</t>
  </si>
  <si>
    <t xml:space="preserve">Gini(age &lt;=30) = </t>
  </si>
  <si>
    <t xml:space="preserve">Gini(age &gt;30) = </t>
  </si>
  <si>
    <t>Gini(age)</t>
  </si>
  <si>
    <t>Gini(income)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</si>
</sst>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0" borderId="1" xfId="0" applyFill="1" applyBorder="1"/>
    <xf numFmtId="0" fontId="1" fillId="5" borderId="1" xfId="0" applyFont="1" applyFill="1" applyBorder="1"/>
    <xf numFmtId="0" fontId="0" fillId="3" borderId="1" xfId="0" applyFill="1" applyBorder="1"/>
    <xf numFmtId="16" fontId="0" fillId="0" borderId="0" xfId="0" quotePrefix="1" applyNumberFormat="1"/>
    <xf numFmtId="2" fontId="0" fillId="2" borderId="0" xfId="0" applyNumberFormat="1" applyFill="1"/>
    <xf numFmtId="2" fontId="0" fillId="4" borderId="0" xfId="0" applyNumberForma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542925</xdr:colOff>
      <xdr:row>6</xdr:row>
      <xdr:rowOff>152400</xdr:rowOff>
    </xdr:from>
    <xdr:to>
      <xdr:col>13</xdr:col>
      <xdr:colOff>533400</xdr:colOff>
      <xdr:row>9</xdr:row>
      <xdr:rowOff>101038</xdr:rowOff>
    </xdr:to>
    <xdr:pic>
      <xdr:nvPicPr>
        <xdr:cNvPr id="2" name="Google Shape;795;p35"/>
        <xdr:cNvPicPr preferRelativeResize="0"/>
      </xdr:nvPicPr>
      <xdr:blipFill rotWithShape="1">
        <a:blip xmlns:r="http://schemas.openxmlformats.org/officeDocument/2006/relationships" r:embed="rId1">
          <a:alphaModFix/>
        </a:blip>
        <a:srcRect/>
        <a:stretch/>
      </xdr:blipFill>
      <xdr:spPr>
        <a:xfrm>
          <a:off x="6019800" y="1295400"/>
          <a:ext cx="3038475" cy="52013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47625</xdr:colOff>
      <xdr:row>0</xdr:row>
      <xdr:rowOff>28576</xdr:rowOff>
    </xdr:from>
    <xdr:to>
      <xdr:col>5</xdr:col>
      <xdr:colOff>133350</xdr:colOff>
      <xdr:row>2</xdr:row>
      <xdr:rowOff>85725</xdr:rowOff>
    </xdr:to>
    <xdr:pic>
      <xdr:nvPicPr>
        <xdr:cNvPr id="2" name="Google Shape;785;p34"/>
        <xdr:cNvPicPr preferRelativeResize="0"/>
      </xdr:nvPicPr>
      <xdr:blipFill rotWithShape="1">
        <a:blip xmlns:r="http://schemas.openxmlformats.org/officeDocument/2006/relationships" r:embed="rId1">
          <a:alphaModFix/>
        </a:blip>
        <a:srcRect/>
        <a:stretch/>
      </xdr:blipFill>
      <xdr:spPr>
        <a:xfrm>
          <a:off x="2486025" y="28576"/>
          <a:ext cx="1162050" cy="43814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47626</xdr:colOff>
      <xdr:row>3</xdr:row>
      <xdr:rowOff>28575</xdr:rowOff>
    </xdr:from>
    <xdr:to>
      <xdr:col>8</xdr:col>
      <xdr:colOff>133350</xdr:colOff>
      <xdr:row>5</xdr:row>
      <xdr:rowOff>38100</xdr:rowOff>
    </xdr:to>
    <xdr:pic>
      <xdr:nvPicPr>
        <xdr:cNvPr id="3" name="Google Shape;795;p35"/>
        <xdr:cNvPicPr preferRelativeResize="0"/>
      </xdr:nvPicPr>
      <xdr:blipFill rotWithShape="1">
        <a:blip xmlns:r="http://schemas.openxmlformats.org/officeDocument/2006/relationships" r:embed="rId2">
          <a:alphaModFix/>
        </a:blip>
        <a:srcRect/>
        <a:stretch/>
      </xdr:blipFill>
      <xdr:spPr>
        <a:xfrm>
          <a:off x="2486026" y="600075"/>
          <a:ext cx="2990849" cy="3905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selection sqref="A1:C17"/>
    </sheetView>
  </sheetViews>
  <sheetFormatPr defaultRowHeight="15" x14ac:dyDescent="0.25"/>
  <cols>
    <col min="7" max="7" width="18.140625" bestFit="1" customWidth="1"/>
  </cols>
  <sheetData>
    <row r="1" spans="1:8" x14ac:dyDescent="0.25">
      <c r="A1" t="s">
        <v>0</v>
      </c>
      <c r="B1" t="s">
        <v>3</v>
      </c>
      <c r="C1" t="s">
        <v>4</v>
      </c>
      <c r="D1" t="s">
        <v>11</v>
      </c>
    </row>
    <row r="2" spans="1:8" x14ac:dyDescent="0.25">
      <c r="A2" s="1" t="s">
        <v>1</v>
      </c>
      <c r="B2" s="1">
        <v>10</v>
      </c>
      <c r="C2" s="1">
        <v>100</v>
      </c>
      <c r="D2" s="1">
        <f>IF(B2&gt;=30,1,0)</f>
        <v>0</v>
      </c>
      <c r="F2" t="s">
        <v>5</v>
      </c>
      <c r="G2" t="s">
        <v>8</v>
      </c>
    </row>
    <row r="3" spans="1:8" x14ac:dyDescent="0.25">
      <c r="A3" s="1" t="s">
        <v>1</v>
      </c>
      <c r="B3" s="1">
        <f>B2+10</f>
        <v>20</v>
      </c>
      <c r="C3" s="1">
        <v>200</v>
      </c>
      <c r="D3" s="1">
        <f t="shared" ref="D3:D17" si="0">IF(B3&gt;=30,1,0)</f>
        <v>0</v>
      </c>
    </row>
    <row r="4" spans="1:8" x14ac:dyDescent="0.25">
      <c r="A4" s="2" t="s">
        <v>2</v>
      </c>
      <c r="B4" s="2">
        <f t="shared" ref="B4:B9" si="1">B3+10</f>
        <v>30</v>
      </c>
      <c r="C4" s="2">
        <f>C3+50</f>
        <v>250</v>
      </c>
      <c r="D4" s="2">
        <f t="shared" si="0"/>
        <v>1</v>
      </c>
      <c r="F4" t="s">
        <v>6</v>
      </c>
      <c r="G4">
        <v>8</v>
      </c>
      <c r="H4">
        <v>16</v>
      </c>
    </row>
    <row r="5" spans="1:8" x14ac:dyDescent="0.25">
      <c r="A5" s="2" t="s">
        <v>2</v>
      </c>
      <c r="B5" s="2">
        <f t="shared" si="1"/>
        <v>40</v>
      </c>
      <c r="C5" s="2">
        <f t="shared" ref="C5:C10" si="2">C4+50</f>
        <v>300</v>
      </c>
      <c r="D5" s="2">
        <f t="shared" si="0"/>
        <v>1</v>
      </c>
      <c r="F5" t="s">
        <v>7</v>
      </c>
      <c r="G5">
        <v>8</v>
      </c>
      <c r="H5">
        <v>16</v>
      </c>
    </row>
    <row r="6" spans="1:8" x14ac:dyDescent="0.25">
      <c r="A6" s="2" t="s">
        <v>1</v>
      </c>
      <c r="B6" s="2">
        <f t="shared" si="1"/>
        <v>50</v>
      </c>
      <c r="C6" s="2">
        <f t="shared" si="2"/>
        <v>350</v>
      </c>
      <c r="D6" s="2">
        <f t="shared" si="0"/>
        <v>1</v>
      </c>
    </row>
    <row r="7" spans="1:8" x14ac:dyDescent="0.25">
      <c r="A7" s="2" t="s">
        <v>1</v>
      </c>
      <c r="B7" s="2">
        <f t="shared" si="1"/>
        <v>60</v>
      </c>
      <c r="C7" s="2">
        <f t="shared" si="2"/>
        <v>400</v>
      </c>
      <c r="D7" s="2">
        <f t="shared" si="0"/>
        <v>1</v>
      </c>
      <c r="F7" t="s">
        <v>5</v>
      </c>
      <c r="G7">
        <f>1-(0.5)^2-(0.5)^2</f>
        <v>0.5</v>
      </c>
    </row>
    <row r="8" spans="1:8" x14ac:dyDescent="0.25">
      <c r="A8" s="2" t="s">
        <v>2</v>
      </c>
      <c r="B8" s="2">
        <f t="shared" si="1"/>
        <v>70</v>
      </c>
      <c r="C8" s="2">
        <f t="shared" si="2"/>
        <v>450</v>
      </c>
      <c r="D8" s="2">
        <f t="shared" si="0"/>
        <v>1</v>
      </c>
    </row>
    <row r="9" spans="1:8" x14ac:dyDescent="0.25">
      <c r="A9" s="2" t="s">
        <v>2</v>
      </c>
      <c r="B9" s="2">
        <f t="shared" si="1"/>
        <v>80</v>
      </c>
      <c r="C9" s="2">
        <f t="shared" si="2"/>
        <v>500</v>
      </c>
      <c r="D9" s="2">
        <f t="shared" si="0"/>
        <v>1</v>
      </c>
      <c r="F9" s="3" t="s">
        <v>9</v>
      </c>
      <c r="G9" s="3" t="s">
        <v>10</v>
      </c>
    </row>
    <row r="10" spans="1:8" x14ac:dyDescent="0.25">
      <c r="A10" s="1" t="s">
        <v>1</v>
      </c>
      <c r="B10" s="1">
        <v>10</v>
      </c>
      <c r="C10" s="1">
        <f t="shared" si="2"/>
        <v>550</v>
      </c>
      <c r="D10" s="1">
        <f t="shared" si="0"/>
        <v>0</v>
      </c>
    </row>
    <row r="11" spans="1:8" x14ac:dyDescent="0.25">
      <c r="A11" s="1" t="s">
        <v>1</v>
      </c>
      <c r="B11" s="1">
        <f>B10+10</f>
        <v>20</v>
      </c>
      <c r="C11" s="1">
        <v>100</v>
      </c>
      <c r="D11" s="1">
        <f t="shared" si="0"/>
        <v>0</v>
      </c>
      <c r="F11" t="s">
        <v>12</v>
      </c>
      <c r="G11">
        <v>4</v>
      </c>
      <c r="H11">
        <f>4/16</f>
        <v>0.25</v>
      </c>
    </row>
    <row r="12" spans="1:8" x14ac:dyDescent="0.25">
      <c r="A12" s="2" t="s">
        <v>2</v>
      </c>
      <c r="B12" s="2">
        <f t="shared" ref="B12:B17" si="3">B11+10</f>
        <v>30</v>
      </c>
      <c r="C12" s="2">
        <v>200</v>
      </c>
      <c r="D12" s="2">
        <f t="shared" si="0"/>
        <v>1</v>
      </c>
      <c r="F12" t="s">
        <v>13</v>
      </c>
      <c r="G12">
        <v>12</v>
      </c>
      <c r="H12">
        <f>12/16</f>
        <v>0.75</v>
      </c>
    </row>
    <row r="13" spans="1:8" x14ac:dyDescent="0.25">
      <c r="A13" s="2" t="s">
        <v>2</v>
      </c>
      <c r="B13" s="2">
        <f t="shared" si="3"/>
        <v>40</v>
      </c>
      <c r="C13" s="2">
        <f>C12+50</f>
        <v>250</v>
      </c>
      <c r="D13" s="2">
        <f t="shared" si="0"/>
        <v>1</v>
      </c>
    </row>
    <row r="14" spans="1:8" x14ac:dyDescent="0.25">
      <c r="A14" s="2" t="s">
        <v>1</v>
      </c>
      <c r="B14" s="2">
        <f t="shared" si="3"/>
        <v>50</v>
      </c>
      <c r="C14" s="2">
        <f t="shared" ref="C14:C17" si="4">C13+50</f>
        <v>300</v>
      </c>
      <c r="D14" s="2">
        <f t="shared" si="0"/>
        <v>1</v>
      </c>
    </row>
    <row r="15" spans="1:8" x14ac:dyDescent="0.25">
      <c r="A15" s="2" t="s">
        <v>1</v>
      </c>
      <c r="B15" s="2">
        <f t="shared" si="3"/>
        <v>60</v>
      </c>
      <c r="C15" s="2">
        <f t="shared" si="4"/>
        <v>350</v>
      </c>
      <c r="D15" s="2">
        <f t="shared" si="0"/>
        <v>1</v>
      </c>
      <c r="F15" s="1" t="s">
        <v>14</v>
      </c>
      <c r="H15">
        <f>1-(H17)^2-(H18)*2</f>
        <v>0</v>
      </c>
    </row>
    <row r="16" spans="1:8" x14ac:dyDescent="0.25">
      <c r="A16" s="2" t="s">
        <v>2</v>
      </c>
      <c r="B16" s="2">
        <f t="shared" si="3"/>
        <v>70</v>
      </c>
      <c r="C16" s="2">
        <f t="shared" si="4"/>
        <v>400</v>
      </c>
      <c r="D16" s="2">
        <f t="shared" si="0"/>
        <v>1</v>
      </c>
      <c r="F16" t="s">
        <v>15</v>
      </c>
      <c r="G16">
        <v>4</v>
      </c>
    </row>
    <row r="17" spans="1:16" x14ac:dyDescent="0.25">
      <c r="A17" s="2" t="s">
        <v>2</v>
      </c>
      <c r="B17" s="2">
        <f t="shared" si="3"/>
        <v>80</v>
      </c>
      <c r="C17" s="2">
        <f t="shared" si="4"/>
        <v>450</v>
      </c>
      <c r="D17" s="2">
        <f t="shared" si="0"/>
        <v>1</v>
      </c>
      <c r="F17" t="s">
        <v>6</v>
      </c>
      <c r="G17">
        <v>4</v>
      </c>
      <c r="H17">
        <f>4/4</f>
        <v>1</v>
      </c>
    </row>
    <row r="18" spans="1:16" x14ac:dyDescent="0.25">
      <c r="F18" t="s">
        <v>7</v>
      </c>
      <c r="G18">
        <v>0</v>
      </c>
      <c r="H18">
        <v>0</v>
      </c>
      <c r="J18" s="3" t="s">
        <v>18</v>
      </c>
      <c r="K18" t="s">
        <v>19</v>
      </c>
      <c r="N18" t="s">
        <v>20</v>
      </c>
      <c r="O18" t="s">
        <v>21</v>
      </c>
      <c r="P18">
        <v>0.17</v>
      </c>
    </row>
    <row r="19" spans="1:16" x14ac:dyDescent="0.25">
      <c r="K19">
        <f>0.75*0.44</f>
        <v>0.33</v>
      </c>
    </row>
    <row r="20" spans="1:16" x14ac:dyDescent="0.25">
      <c r="F20" s="2" t="s">
        <v>16</v>
      </c>
      <c r="H20">
        <f>1-(H22)^2-(H23)^2</f>
        <v>0.44444444444444442</v>
      </c>
    </row>
    <row r="21" spans="1:16" x14ac:dyDescent="0.25">
      <c r="F21" t="s">
        <v>17</v>
      </c>
      <c r="G21">
        <v>12</v>
      </c>
      <c r="J21" s="3" t="s">
        <v>22</v>
      </c>
      <c r="O21" t="s">
        <v>23</v>
      </c>
      <c r="P21">
        <v>0.1</v>
      </c>
    </row>
    <row r="22" spans="1:16" x14ac:dyDescent="0.25">
      <c r="F22" t="s">
        <v>6</v>
      </c>
      <c r="G22">
        <v>4</v>
      </c>
      <c r="H22">
        <f>4/12</f>
        <v>0.33333333333333331</v>
      </c>
    </row>
    <row r="23" spans="1:16" x14ac:dyDescent="0.25">
      <c r="F23" t="s">
        <v>7</v>
      </c>
      <c r="G23">
        <v>8</v>
      </c>
      <c r="H23">
        <f>8/12</f>
        <v>0.66666666666666663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workbookViewId="0">
      <selection activeCell="L8" sqref="L8"/>
    </sheetView>
  </sheetViews>
  <sheetFormatPr defaultRowHeight="15" x14ac:dyDescent="0.25"/>
  <cols>
    <col min="5" max="5" width="16.140625" customWidth="1"/>
    <col min="11" max="11" width="50.140625" customWidth="1"/>
    <col min="12" max="12" width="12.5703125" bestFit="1" customWidth="1"/>
  </cols>
  <sheetData>
    <row r="1" spans="1:13" x14ac:dyDescent="0.25">
      <c r="A1" s="6" t="s">
        <v>0</v>
      </c>
      <c r="B1" s="6" t="s">
        <v>3</v>
      </c>
      <c r="C1" s="6" t="s">
        <v>4</v>
      </c>
    </row>
    <row r="2" spans="1:13" x14ac:dyDescent="0.25">
      <c r="A2" s="7" t="s">
        <v>1</v>
      </c>
      <c r="B2" s="7" t="s">
        <v>24</v>
      </c>
      <c r="C2" s="7" t="s">
        <v>26</v>
      </c>
      <c r="H2" t="s">
        <v>30</v>
      </c>
    </row>
    <row r="3" spans="1:13" x14ac:dyDescent="0.25">
      <c r="A3" s="7" t="s">
        <v>1</v>
      </c>
      <c r="B3" s="7" t="s">
        <v>24</v>
      </c>
      <c r="C3" s="7" t="s">
        <v>26</v>
      </c>
    </row>
    <row r="4" spans="1:13" x14ac:dyDescent="0.25">
      <c r="A4" s="7" t="s">
        <v>2</v>
      </c>
      <c r="B4" s="7" t="s">
        <v>24</v>
      </c>
      <c r="C4" s="7" t="s">
        <v>26</v>
      </c>
    </row>
    <row r="5" spans="1:13" x14ac:dyDescent="0.25">
      <c r="A5" s="5" t="s">
        <v>2</v>
      </c>
      <c r="B5" s="5" t="s">
        <v>25</v>
      </c>
      <c r="C5" s="5" t="s">
        <v>26</v>
      </c>
    </row>
    <row r="6" spans="1:13" x14ac:dyDescent="0.25">
      <c r="A6" s="5" t="s">
        <v>1</v>
      </c>
      <c r="B6" s="5" t="s">
        <v>25</v>
      </c>
      <c r="C6" s="5" t="s">
        <v>27</v>
      </c>
    </row>
    <row r="7" spans="1:13" x14ac:dyDescent="0.25">
      <c r="A7" s="5" t="s">
        <v>1</v>
      </c>
      <c r="B7" s="5" t="s">
        <v>25</v>
      </c>
      <c r="C7" s="5" t="s">
        <v>27</v>
      </c>
    </row>
    <row r="8" spans="1:13" ht="23.25" x14ac:dyDescent="0.35">
      <c r="A8" s="5" t="s">
        <v>2</v>
      </c>
      <c r="B8" s="5" t="s">
        <v>25</v>
      </c>
      <c r="C8" s="5" t="s">
        <v>27</v>
      </c>
      <c r="E8" s="11" t="s">
        <v>28</v>
      </c>
      <c r="F8" s="3"/>
      <c r="G8" s="3"/>
      <c r="H8" s="3"/>
      <c r="I8" s="3"/>
      <c r="J8" s="3"/>
      <c r="K8" s="3"/>
      <c r="L8" t="s">
        <v>43</v>
      </c>
      <c r="M8" s="10">
        <f>G11*J16 +G12*J21</f>
        <v>0.46666666666666667</v>
      </c>
    </row>
    <row r="9" spans="1:13" x14ac:dyDescent="0.25">
      <c r="A9" s="5" t="s">
        <v>2</v>
      </c>
      <c r="B9" s="5" t="s">
        <v>25</v>
      </c>
      <c r="C9" s="5" t="s">
        <v>27</v>
      </c>
    </row>
    <row r="10" spans="1:13" x14ac:dyDescent="0.25">
      <c r="A10" s="7" t="s">
        <v>1</v>
      </c>
      <c r="B10" s="7" t="s">
        <v>24</v>
      </c>
      <c r="C10" s="7" t="s">
        <v>27</v>
      </c>
      <c r="E10" t="s">
        <v>29</v>
      </c>
      <c r="F10">
        <v>16</v>
      </c>
      <c r="L10" t="s">
        <v>44</v>
      </c>
      <c r="M10">
        <v>0.6</v>
      </c>
    </row>
    <row r="11" spans="1:13" x14ac:dyDescent="0.25">
      <c r="A11" s="7" t="s">
        <v>1</v>
      </c>
      <c r="B11" s="7" t="s">
        <v>24</v>
      </c>
      <c r="C11" s="7" t="s">
        <v>26</v>
      </c>
      <c r="E11" t="s">
        <v>24</v>
      </c>
      <c r="F11">
        <v>6</v>
      </c>
      <c r="G11" s="1">
        <f>F11/F10</f>
        <v>0.375</v>
      </c>
    </row>
    <row r="12" spans="1:13" x14ac:dyDescent="0.25">
      <c r="A12" s="7" t="s">
        <v>2</v>
      </c>
      <c r="B12" s="7" t="s">
        <v>24</v>
      </c>
      <c r="C12" s="7" t="s">
        <v>26</v>
      </c>
      <c r="E12" t="s">
        <v>25</v>
      </c>
      <c r="F12">
        <v>10</v>
      </c>
      <c r="G12" s="1">
        <f>F12/F10</f>
        <v>0.625</v>
      </c>
    </row>
    <row r="13" spans="1:13" x14ac:dyDescent="0.25">
      <c r="A13" s="5" t="s">
        <v>2</v>
      </c>
      <c r="B13" s="5" t="s">
        <v>25</v>
      </c>
      <c r="C13" s="5" t="s">
        <v>26</v>
      </c>
    </row>
    <row r="14" spans="1:13" x14ac:dyDescent="0.25">
      <c r="A14" s="5" t="s">
        <v>1</v>
      </c>
      <c r="B14" s="5" t="s">
        <v>25</v>
      </c>
      <c r="C14" s="5" t="s">
        <v>26</v>
      </c>
      <c r="E14" t="s">
        <v>31</v>
      </c>
    </row>
    <row r="15" spans="1:13" x14ac:dyDescent="0.25">
      <c r="A15" s="5" t="s">
        <v>1</v>
      </c>
      <c r="B15" s="5" t="s">
        <v>25</v>
      </c>
      <c r="C15" s="5" t="s">
        <v>27</v>
      </c>
    </row>
    <row r="16" spans="1:13" x14ac:dyDescent="0.25">
      <c r="A16" s="5" t="s">
        <v>2</v>
      </c>
      <c r="B16" s="5" t="s">
        <v>25</v>
      </c>
      <c r="C16" s="5" t="s">
        <v>27</v>
      </c>
      <c r="E16" t="s">
        <v>32</v>
      </c>
      <c r="F16" s="8" t="s">
        <v>33</v>
      </c>
      <c r="H16" t="s">
        <v>41</v>
      </c>
      <c r="J16" s="9">
        <f>1-(4/6)^2 - (2/6)^2</f>
        <v>0.44444444444444448</v>
      </c>
    </row>
    <row r="17" spans="1:10" x14ac:dyDescent="0.25">
      <c r="A17" s="5" t="s">
        <v>2</v>
      </c>
      <c r="B17" s="5" t="s">
        <v>25</v>
      </c>
      <c r="C17" s="5" t="s">
        <v>27</v>
      </c>
      <c r="E17" t="s">
        <v>34</v>
      </c>
      <c r="F17" s="8" t="s">
        <v>35</v>
      </c>
    </row>
    <row r="18" spans="1:10" x14ac:dyDescent="0.25">
      <c r="C18" s="4"/>
    </row>
    <row r="19" spans="1:10" x14ac:dyDescent="0.25">
      <c r="C19" s="4"/>
      <c r="E19" t="s">
        <v>36</v>
      </c>
    </row>
    <row r="20" spans="1:10" x14ac:dyDescent="0.25">
      <c r="E20" t="s">
        <v>37</v>
      </c>
      <c r="F20" s="8" t="s">
        <v>39</v>
      </c>
    </row>
    <row r="21" spans="1:10" x14ac:dyDescent="0.25">
      <c r="E21" t="s">
        <v>38</v>
      </c>
      <c r="F21" s="8" t="s">
        <v>40</v>
      </c>
      <c r="H21" t="s">
        <v>42</v>
      </c>
      <c r="J21" s="1">
        <f>1-(4/10)^2-(6/10)^2</f>
        <v>0.48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2023-09-17T07:14:34Z</dcterms:created>
  <dcterms:modified xsi:type="dcterms:W3CDTF">2024-01-06T03:24:32Z</dcterms:modified>
</cp:coreProperties>
</file>